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TM32\Motor\PMSM_Control\Project\PMSM_Control_01\"/>
    </mc:Choice>
  </mc:AlternateContent>
  <xr:revisionPtr revIDLastSave="0" documentId="13_ncr:1_{B22E0138-C55D-4155-86B3-F400C7949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I14" i="1" s="1"/>
  <c r="G15" i="1"/>
  <c r="I15" i="1" s="1"/>
  <c r="G16" i="1"/>
  <c r="J16" i="1" s="1"/>
  <c r="G7" i="1"/>
  <c r="J7" i="1" s="1"/>
  <c r="C8" i="1"/>
  <c r="C9" i="1"/>
  <c r="C10" i="1"/>
  <c r="C11" i="1"/>
  <c r="C12" i="1"/>
  <c r="C13" i="1"/>
  <c r="C14" i="1"/>
  <c r="C15" i="1"/>
  <c r="C16" i="1"/>
  <c r="C7" i="1"/>
  <c r="B9" i="1"/>
  <c r="B10" i="1"/>
  <c r="B11" i="1"/>
  <c r="B12" i="1"/>
  <c r="B13" i="1"/>
  <c r="B14" i="1"/>
  <c r="B15" i="1"/>
  <c r="B16" i="1"/>
  <c r="B8" i="1"/>
  <c r="B7" i="1"/>
  <c r="G3" i="1"/>
  <c r="E3" i="1"/>
  <c r="I12" i="1" l="1"/>
  <c r="I13" i="1"/>
  <c r="J14" i="1"/>
  <c r="I16" i="1"/>
  <c r="I8" i="1"/>
  <c r="I11" i="1"/>
  <c r="I9" i="1"/>
  <c r="I10" i="1"/>
  <c r="J15" i="1"/>
  <c r="I7" i="1"/>
</calcChain>
</file>

<file path=xl/sharedStrings.xml><?xml version="1.0" encoding="utf-8"?>
<sst xmlns="http://schemas.openxmlformats.org/spreadsheetml/2006/main" count="14" uniqueCount="14">
  <si>
    <t>最大转速</t>
    <phoneticPr fontId="1" type="noConversion"/>
  </si>
  <si>
    <t>电机极对数</t>
    <phoneticPr fontId="1" type="noConversion"/>
  </si>
  <si>
    <t>最大机械角速度</t>
    <phoneticPr fontId="1" type="noConversion"/>
  </si>
  <si>
    <t>最大电角速度</t>
    <phoneticPr fontId="1" type="noConversion"/>
  </si>
  <si>
    <t>系数</t>
    <phoneticPr fontId="1" type="noConversion"/>
  </si>
  <si>
    <t>转速</t>
    <phoneticPr fontId="1" type="noConversion"/>
  </si>
  <si>
    <t>电角速度</t>
    <phoneticPr fontId="1" type="noConversion"/>
  </si>
  <si>
    <t>阻尼系数</t>
    <phoneticPr fontId="1" type="noConversion"/>
  </si>
  <si>
    <t>振荡频率系数</t>
    <phoneticPr fontId="1" type="noConversion"/>
  </si>
  <si>
    <t>振荡频率</t>
    <phoneticPr fontId="1" type="noConversion"/>
  </si>
  <si>
    <t>PLL_Kp</t>
    <phoneticPr fontId="1" type="noConversion"/>
  </si>
  <si>
    <t>PLL_Ki</t>
    <phoneticPr fontId="1" type="noConversion"/>
  </si>
  <si>
    <t>离散时间</t>
    <phoneticPr fontId="1" type="noConversion"/>
  </si>
  <si>
    <t>开关频率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</si>
</sst>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"/>
  <sheetViews>
    <sheetView tabSelected="1" workbookViewId="0">
      <selection activeCell="B10" sqref="B10"/>
    </sheetView>
  </sheetViews>
  <sheetFormatPr defaultRowHeight="13.8" x14ac:dyDescent="0.25"/>
  <sheetData>
    <row r="2" spans="1:11" x14ac:dyDescent="0.25">
      <c r="A2" t="s">
        <v>0</v>
      </c>
      <c r="C2" t="s">
        <v>1</v>
      </c>
      <c r="E2" t="s">
        <v>2</v>
      </c>
      <c r="G2" t="s">
        <v>3</v>
      </c>
      <c r="I2" t="s">
        <v>13</v>
      </c>
      <c r="K2" t="s">
        <v>12</v>
      </c>
    </row>
    <row r="3" spans="1:11" x14ac:dyDescent="0.25">
      <c r="A3">
        <v>5000</v>
      </c>
      <c r="C3">
        <v>4</v>
      </c>
      <c r="E3">
        <f>A3/60*2*3.1415926</f>
        <v>523.59876666666662</v>
      </c>
      <c r="G3">
        <f>A3/60*2*3.1415926*C3</f>
        <v>2094.3950666666665</v>
      </c>
      <c r="I3">
        <v>20000</v>
      </c>
      <c r="K3">
        <f>1/I3</f>
        <v>5.0000000000000002E-5</v>
      </c>
    </row>
    <row r="6" spans="1:11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G6" t="s">
        <v>9</v>
      </c>
      <c r="I6" t="s">
        <v>10</v>
      </c>
      <c r="J6" t="s">
        <v>11</v>
      </c>
    </row>
    <row r="7" spans="1:11" x14ac:dyDescent="0.25">
      <c r="A7">
        <v>0.1</v>
      </c>
      <c r="B7">
        <f>$A$3*A7</f>
        <v>500</v>
      </c>
      <c r="C7">
        <f>B7/60*2*3.1415926*$C$3</f>
        <v>209.43950666666669</v>
      </c>
      <c r="D7">
        <v>0.70699999999999996</v>
      </c>
      <c r="E7">
        <v>0.5</v>
      </c>
      <c r="G7">
        <f>C7*E7</f>
        <v>104.71975333333334</v>
      </c>
      <c r="I7">
        <f>2*D7*G7</f>
        <v>148.07373121333333</v>
      </c>
      <c r="J7">
        <f>G7*G7*$K$3</f>
        <v>0.54831133690970901</v>
      </c>
    </row>
    <row r="8" spans="1:11" x14ac:dyDescent="0.25">
      <c r="A8">
        <v>0.1</v>
      </c>
      <c r="B8">
        <f>$A$3*A8</f>
        <v>500</v>
      </c>
      <c r="C8">
        <f t="shared" ref="C8:C16" si="0">B8/60*2*3.1415926*$C$3</f>
        <v>209.43950666666669</v>
      </c>
      <c r="D8">
        <v>0.70699999999999996</v>
      </c>
      <c r="E8">
        <v>0.5</v>
      </c>
      <c r="G8">
        <f t="shared" ref="G8:G16" si="1">C8*E8</f>
        <v>104.71975333333334</v>
      </c>
      <c r="I8">
        <f>2*D8*G8</f>
        <v>148.07373121333333</v>
      </c>
      <c r="J8">
        <f t="shared" ref="J8:J16" si="2">G8*G8*$K$3</f>
        <v>0.54831133690970901</v>
      </c>
    </row>
    <row r="9" spans="1:11" x14ac:dyDescent="0.25">
      <c r="A9">
        <v>0.2</v>
      </c>
      <c r="B9">
        <f t="shared" ref="B9:B16" si="3">$A$3*A9</f>
        <v>1000</v>
      </c>
      <c r="C9">
        <f t="shared" si="0"/>
        <v>418.87901333333338</v>
      </c>
      <c r="D9">
        <v>0.70699999999999996</v>
      </c>
      <c r="E9">
        <v>0.5</v>
      </c>
      <c r="G9">
        <f t="shared" si="1"/>
        <v>209.43950666666669</v>
      </c>
      <c r="I9">
        <f t="shared" ref="I9:I16" si="4">2*D9*G9</f>
        <v>296.14746242666666</v>
      </c>
      <c r="J9">
        <f t="shared" si="2"/>
        <v>2.1932453476388361</v>
      </c>
    </row>
    <row r="10" spans="1:11" x14ac:dyDescent="0.25">
      <c r="A10">
        <v>0.3</v>
      </c>
      <c r="B10">
        <f t="shared" si="3"/>
        <v>1500</v>
      </c>
      <c r="C10">
        <f t="shared" si="0"/>
        <v>628.31852000000003</v>
      </c>
      <c r="D10">
        <v>0.70699999999999996</v>
      </c>
      <c r="E10">
        <v>0.5</v>
      </c>
      <c r="G10">
        <f t="shared" si="1"/>
        <v>314.15926000000002</v>
      </c>
      <c r="I10">
        <f t="shared" si="4"/>
        <v>444.22119364000002</v>
      </c>
      <c r="J10">
        <f t="shared" si="2"/>
        <v>4.9348020321873802</v>
      </c>
    </row>
    <row r="11" spans="1:11" x14ac:dyDescent="0.25">
      <c r="A11">
        <v>0.4</v>
      </c>
      <c r="B11">
        <f t="shared" si="3"/>
        <v>2000</v>
      </c>
      <c r="C11">
        <f t="shared" si="0"/>
        <v>837.75802666666675</v>
      </c>
      <c r="D11">
        <v>0.70699999999999996</v>
      </c>
      <c r="E11">
        <v>0.5</v>
      </c>
      <c r="G11">
        <f t="shared" si="1"/>
        <v>418.87901333333338</v>
      </c>
      <c r="I11">
        <f t="shared" si="4"/>
        <v>592.29492485333333</v>
      </c>
      <c r="J11">
        <f t="shared" si="2"/>
        <v>8.7729813905553442</v>
      </c>
    </row>
    <row r="12" spans="1:11" x14ac:dyDescent="0.25">
      <c r="A12">
        <v>0.5</v>
      </c>
      <c r="B12">
        <f t="shared" si="3"/>
        <v>2500</v>
      </c>
      <c r="C12">
        <f t="shared" si="0"/>
        <v>1047.1975333333332</v>
      </c>
      <c r="D12">
        <v>0.70699999999999996</v>
      </c>
      <c r="E12">
        <v>0.5</v>
      </c>
      <c r="G12">
        <f t="shared" si="1"/>
        <v>523.59876666666662</v>
      </c>
      <c r="I12">
        <f t="shared" si="4"/>
        <v>740.36865606666652</v>
      </c>
      <c r="J12">
        <f t="shared" si="2"/>
        <v>13.70778342274272</v>
      </c>
    </row>
    <row r="13" spans="1:11" x14ac:dyDescent="0.25">
      <c r="A13">
        <v>0.6</v>
      </c>
      <c r="B13">
        <f t="shared" si="3"/>
        <v>3000</v>
      </c>
      <c r="C13">
        <f t="shared" si="0"/>
        <v>1256.6370400000001</v>
      </c>
      <c r="D13">
        <v>0.70699999999999996</v>
      </c>
      <c r="E13">
        <v>0.5</v>
      </c>
      <c r="G13">
        <f t="shared" si="1"/>
        <v>628.31852000000003</v>
      </c>
      <c r="I13">
        <f t="shared" si="4"/>
        <v>888.44238728000005</v>
      </c>
      <c r="J13">
        <f t="shared" si="2"/>
        <v>19.739208128749521</v>
      </c>
    </row>
    <row r="14" spans="1:11" x14ac:dyDescent="0.25">
      <c r="A14">
        <v>0.7</v>
      </c>
      <c r="B14">
        <f t="shared" si="3"/>
        <v>3500</v>
      </c>
      <c r="C14">
        <f t="shared" si="0"/>
        <v>1466.0765466666667</v>
      </c>
      <c r="D14">
        <v>0.70699999999999996</v>
      </c>
      <c r="E14">
        <v>0.5</v>
      </c>
      <c r="G14">
        <f t="shared" si="1"/>
        <v>733.03827333333334</v>
      </c>
      <c r="I14">
        <f t="shared" si="4"/>
        <v>1036.5161184933334</v>
      </c>
      <c r="J14">
        <f t="shared" si="2"/>
        <v>26.867255508575735</v>
      </c>
    </row>
    <row r="15" spans="1:11" x14ac:dyDescent="0.25">
      <c r="A15">
        <v>0.8</v>
      </c>
      <c r="B15">
        <f t="shared" si="3"/>
        <v>4000</v>
      </c>
      <c r="C15">
        <f t="shared" si="0"/>
        <v>1675.5160533333335</v>
      </c>
      <c r="D15">
        <v>0.70699999999999996</v>
      </c>
      <c r="E15">
        <v>0.5</v>
      </c>
      <c r="G15">
        <f t="shared" si="1"/>
        <v>837.75802666666675</v>
      </c>
      <c r="I15">
        <f t="shared" si="4"/>
        <v>1184.5898497066667</v>
      </c>
      <c r="J15">
        <f t="shared" si="2"/>
        <v>35.091925562221377</v>
      </c>
    </row>
    <row r="16" spans="1:11" x14ac:dyDescent="0.25">
      <c r="A16">
        <v>1</v>
      </c>
      <c r="B16">
        <f t="shared" si="3"/>
        <v>5000</v>
      </c>
      <c r="C16">
        <f t="shared" si="0"/>
        <v>2094.3950666666665</v>
      </c>
      <c r="D16">
        <v>0.70699999999999996</v>
      </c>
      <c r="E16">
        <v>0.5</v>
      </c>
      <c r="G16">
        <f t="shared" si="1"/>
        <v>1047.1975333333332</v>
      </c>
      <c r="I16">
        <f t="shared" si="4"/>
        <v>1480.737312133333</v>
      </c>
      <c r="J16">
        <f t="shared" si="2"/>
        <v>54.83113369097088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Kiacute</dc:creator>
  <cp:lastModifiedBy>文钟 莫</cp:lastModifiedBy>
  <dcterms:created xsi:type="dcterms:W3CDTF">2015-06-05T18:19:34Z</dcterms:created>
  <dcterms:modified xsi:type="dcterms:W3CDTF">2026-05-16T12:26:22Z</dcterms:modified>
</cp:coreProperties>
</file>
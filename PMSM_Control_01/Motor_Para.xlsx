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STM32\Motor\PMSM_Control\Project\PMSM_Control_01\"/>
    </mc:Choice>
  </mc:AlternateContent>
  <xr:revisionPtr revIDLastSave="0" documentId="13_ncr:1_{34B3FFCC-5D52-4103-904C-646A53E87A51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磁链观测器" sheetId="1" r:id="rId1"/>
    <sheet name="滑模观测器" sheetId="2" r:id="rId2"/>
    <sheet name="DQ轴电流环" sheetId="3" r:id="rId3"/>
    <sheet name="速度环" sheetId="4" r:id="rId4"/>
    <sheet name="IF启动参数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" i="3" l="1"/>
  <c r="L12" i="3"/>
  <c r="L13" i="3"/>
  <c r="L14" i="3"/>
  <c r="L15" i="3"/>
  <c r="L16" i="3"/>
  <c r="L17" i="3"/>
  <c r="L18" i="3"/>
  <c r="L19" i="3"/>
  <c r="K11" i="3"/>
  <c r="K12" i="3"/>
  <c r="K13" i="3"/>
  <c r="K14" i="3"/>
  <c r="K15" i="3"/>
  <c r="K16" i="3"/>
  <c r="K17" i="3"/>
  <c r="K18" i="3"/>
  <c r="K19" i="3"/>
  <c r="J11" i="3"/>
  <c r="J12" i="3"/>
  <c r="J13" i="3"/>
  <c r="J14" i="3"/>
  <c r="J15" i="3"/>
  <c r="J16" i="3"/>
  <c r="J17" i="3"/>
  <c r="J18" i="3"/>
  <c r="J19" i="3"/>
  <c r="I11" i="3"/>
  <c r="I12" i="3"/>
  <c r="I13" i="3"/>
  <c r="I14" i="3"/>
  <c r="I15" i="3"/>
  <c r="I16" i="3"/>
  <c r="I17" i="3"/>
  <c r="I18" i="3"/>
  <c r="I19" i="3"/>
  <c r="L10" i="3"/>
  <c r="K10" i="3"/>
  <c r="J10" i="3"/>
  <c r="I10" i="3"/>
  <c r="C19" i="4"/>
  <c r="B19" i="4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C12" i="4"/>
  <c r="B12" i="4"/>
  <c r="B11" i="4"/>
  <c r="C11" i="4" s="1"/>
  <c r="B10" i="4"/>
  <c r="C10" i="4" s="1"/>
  <c r="K3" i="4"/>
  <c r="G3" i="4"/>
  <c r="E3" i="4"/>
  <c r="F11" i="3"/>
  <c r="F12" i="3"/>
  <c r="F13" i="3"/>
  <c r="F14" i="3"/>
  <c r="F15" i="3"/>
  <c r="F16" i="3"/>
  <c r="F17" i="3"/>
  <c r="F18" i="3"/>
  <c r="F19" i="3"/>
  <c r="F10" i="3"/>
  <c r="B19" i="3"/>
  <c r="B18" i="3"/>
  <c r="B17" i="3"/>
  <c r="C17" i="3" s="1"/>
  <c r="B16" i="3"/>
  <c r="B15" i="3"/>
  <c r="B14" i="3"/>
  <c r="C14" i="3" s="1"/>
  <c r="B13" i="3"/>
  <c r="C13" i="3" s="1"/>
  <c r="B12" i="3"/>
  <c r="C12" i="3" s="1"/>
  <c r="B11" i="3"/>
  <c r="B10" i="3"/>
  <c r="K3" i="3"/>
  <c r="G3" i="3"/>
  <c r="E3" i="3"/>
  <c r="J8" i="2"/>
  <c r="J9" i="2"/>
  <c r="J10" i="2"/>
  <c r="J11" i="2"/>
  <c r="J12" i="2"/>
  <c r="J13" i="2"/>
  <c r="J14" i="2"/>
  <c r="J15" i="2"/>
  <c r="J16" i="2"/>
  <c r="J7" i="2"/>
  <c r="I8" i="2"/>
  <c r="I9" i="2"/>
  <c r="I10" i="2"/>
  <c r="I11" i="2"/>
  <c r="I12" i="2"/>
  <c r="I13" i="2"/>
  <c r="I14" i="2"/>
  <c r="I15" i="2"/>
  <c r="I16" i="2"/>
  <c r="I7" i="2"/>
  <c r="H8" i="2"/>
  <c r="H9" i="2"/>
  <c r="H10" i="2"/>
  <c r="H11" i="2"/>
  <c r="H12" i="2"/>
  <c r="H13" i="2"/>
  <c r="H14" i="2"/>
  <c r="H15" i="2"/>
  <c r="H16" i="2"/>
  <c r="H7" i="2"/>
  <c r="B16" i="2"/>
  <c r="C16" i="2" s="1"/>
  <c r="G16" i="2" s="1"/>
  <c r="B15" i="2"/>
  <c r="C15" i="2" s="1"/>
  <c r="G15" i="2" s="1"/>
  <c r="C14" i="2"/>
  <c r="G14" i="2" s="1"/>
  <c r="B14" i="2"/>
  <c r="C13" i="2"/>
  <c r="G13" i="2" s="1"/>
  <c r="B13" i="2"/>
  <c r="C12" i="2"/>
  <c r="G12" i="2" s="1"/>
  <c r="B12" i="2"/>
  <c r="B11" i="2"/>
  <c r="C11" i="2" s="1"/>
  <c r="G11" i="2" s="1"/>
  <c r="B10" i="2"/>
  <c r="C10" i="2" s="1"/>
  <c r="G10" i="2" s="1"/>
  <c r="B9" i="2"/>
  <c r="C9" i="2" s="1"/>
  <c r="G9" i="2" s="1"/>
  <c r="C8" i="2"/>
  <c r="G8" i="2" s="1"/>
  <c r="B8" i="2"/>
  <c r="C7" i="2"/>
  <c r="G7" i="2" s="1"/>
  <c r="B7" i="2"/>
  <c r="K3" i="2"/>
  <c r="G3" i="2"/>
  <c r="E3" i="2"/>
  <c r="K3" i="1"/>
  <c r="G8" i="1"/>
  <c r="J8" i="1" s="1"/>
  <c r="G9" i="1"/>
  <c r="J9" i="1" s="1"/>
  <c r="G10" i="1"/>
  <c r="J10" i="1" s="1"/>
  <c r="G11" i="1"/>
  <c r="J11" i="1" s="1"/>
  <c r="G12" i="1"/>
  <c r="J12" i="1" s="1"/>
  <c r="G13" i="1"/>
  <c r="J13" i="1" s="1"/>
  <c r="G14" i="1"/>
  <c r="I14" i="1" s="1"/>
  <c r="G15" i="1"/>
  <c r="I15" i="1" s="1"/>
  <c r="G16" i="1"/>
  <c r="J16" i="1" s="1"/>
  <c r="G7" i="1"/>
  <c r="J7" i="1" s="1"/>
  <c r="C8" i="1"/>
  <c r="C9" i="1"/>
  <c r="C10" i="1"/>
  <c r="C11" i="1"/>
  <c r="C12" i="1"/>
  <c r="C13" i="1"/>
  <c r="C14" i="1"/>
  <c r="C15" i="1"/>
  <c r="C16" i="1"/>
  <c r="C7" i="1"/>
  <c r="B9" i="1"/>
  <c r="B10" i="1"/>
  <c r="B11" i="1"/>
  <c r="B12" i="1"/>
  <c r="B13" i="1"/>
  <c r="B14" i="1"/>
  <c r="B15" i="1"/>
  <c r="B16" i="1"/>
  <c r="B8" i="1"/>
  <c r="B7" i="1"/>
  <c r="G3" i="1"/>
  <c r="E3" i="1"/>
  <c r="C10" i="3" l="1"/>
  <c r="C16" i="3"/>
  <c r="C15" i="3"/>
  <c r="C18" i="3"/>
  <c r="C11" i="3"/>
  <c r="C19" i="3"/>
  <c r="I12" i="1"/>
  <c r="I13" i="1"/>
  <c r="J14" i="1"/>
  <c r="I16" i="1"/>
  <c r="I8" i="1"/>
  <c r="I11" i="1"/>
  <c r="I9" i="1"/>
  <c r="I10" i="1"/>
  <c r="J15" i="1"/>
  <c r="I7" i="1"/>
</calcChain>
</file>

<file path=xl/sharedStrings.xml><?xml version="1.0" encoding="utf-8"?>
<sst xmlns="http://schemas.openxmlformats.org/spreadsheetml/2006/main" count="118" uniqueCount="53">
  <si>
    <t>最大转速</t>
    <phoneticPr fontId="1" type="noConversion"/>
  </si>
  <si>
    <t>电机极对数</t>
    <phoneticPr fontId="1" type="noConversion"/>
  </si>
  <si>
    <t>最大机械角速度</t>
    <phoneticPr fontId="1" type="noConversion"/>
  </si>
  <si>
    <t>最大电角速度</t>
    <phoneticPr fontId="1" type="noConversion"/>
  </si>
  <si>
    <t>系数</t>
    <phoneticPr fontId="1" type="noConversion"/>
  </si>
  <si>
    <t>转速</t>
    <phoneticPr fontId="1" type="noConversion"/>
  </si>
  <si>
    <t>电角速度</t>
    <phoneticPr fontId="1" type="noConversion"/>
  </si>
  <si>
    <t>阻尼系数</t>
    <phoneticPr fontId="1" type="noConversion"/>
  </si>
  <si>
    <t>振荡频率系数</t>
    <phoneticPr fontId="1" type="noConversion"/>
  </si>
  <si>
    <t>振荡频率</t>
    <phoneticPr fontId="1" type="noConversion"/>
  </si>
  <si>
    <t>PLL_Kp</t>
    <phoneticPr fontId="1" type="noConversion"/>
  </si>
  <si>
    <t>PLL_Ki</t>
    <phoneticPr fontId="1" type="noConversion"/>
  </si>
  <si>
    <t>离散时间</t>
    <phoneticPr fontId="1" type="noConversion"/>
  </si>
  <si>
    <t>开关频率</t>
    <phoneticPr fontId="1" type="noConversion"/>
  </si>
  <si>
    <t>变量名</t>
    <phoneticPr fontId="1" type="noConversion"/>
  </si>
  <si>
    <t>增益</t>
    <phoneticPr fontId="1" type="noConversion"/>
  </si>
  <si>
    <t>变量类型</t>
    <phoneticPr fontId="1" type="noConversion"/>
  </si>
  <si>
    <t>float</t>
    <phoneticPr fontId="1" type="noConversion"/>
  </si>
  <si>
    <t>反电动势系数(V/1000rpm)</t>
    <phoneticPr fontId="1" type="noConversion"/>
  </si>
  <si>
    <t>反电动势</t>
    <phoneticPr fontId="1" type="noConversion"/>
  </si>
  <si>
    <t>SMO_Lookup_Speed_index</t>
  </si>
  <si>
    <t>NonFlux_Lookup_Speed_index</t>
  </si>
  <si>
    <t>NonFlux_Gama_Lookup_1D</t>
  </si>
  <si>
    <t>NonFlux_PLL_Kp_Lookup_1D</t>
  </si>
  <si>
    <t>NonFlux_PLL_Ki_Lookup_1D</t>
  </si>
  <si>
    <t>SMO_Gain_Lookup_1D</t>
  </si>
  <si>
    <t>SMO_PLL_Ki_Lookup_1D</t>
  </si>
  <si>
    <t>Ld</t>
    <phoneticPr fontId="1" type="noConversion"/>
  </si>
  <si>
    <t>Lq</t>
    <phoneticPr fontId="1" type="noConversion"/>
  </si>
  <si>
    <t>Rs</t>
    <phoneticPr fontId="1" type="noConversion"/>
  </si>
  <si>
    <t>Id_Kp</t>
    <phoneticPr fontId="1" type="noConversion"/>
  </si>
  <si>
    <t>Iq_Ki</t>
    <phoneticPr fontId="1" type="noConversion"/>
  </si>
  <si>
    <t>Iq_Kp</t>
    <phoneticPr fontId="1" type="noConversion"/>
  </si>
  <si>
    <t>Id_Ki</t>
    <phoneticPr fontId="1" type="noConversion"/>
  </si>
  <si>
    <t>带宽</t>
    <phoneticPr fontId="1" type="noConversion"/>
  </si>
  <si>
    <t>Current_ID_PI_Kp_Lookup_1D</t>
  </si>
  <si>
    <t>Current_IQ_PI_Ki_Lookup_1D</t>
  </si>
  <si>
    <t>惯量</t>
    <phoneticPr fontId="1" type="noConversion"/>
  </si>
  <si>
    <t>Speed_Kp</t>
    <phoneticPr fontId="1" type="noConversion"/>
  </si>
  <si>
    <t>Speed_Ki</t>
    <phoneticPr fontId="1" type="noConversion"/>
  </si>
  <si>
    <t>Speed_Loop_Speed_PI_Kp_1D</t>
  </si>
  <si>
    <t>Speed_Loop_Speed_Index</t>
  </si>
  <si>
    <t>Current_Lookup_Speed_index</t>
  </si>
  <si>
    <t>Current_ID_PI_Ki_Lookup_1D</t>
    <phoneticPr fontId="1" type="noConversion"/>
  </si>
  <si>
    <t>Current_IQ_PI_Kp_Lookup_1D</t>
    <phoneticPr fontId="1" type="noConversion"/>
  </si>
  <si>
    <t>Speed_Loop_Speed_PI_Ki_1D</t>
    <phoneticPr fontId="1" type="noConversion"/>
  </si>
  <si>
    <t>SMO_PLL_Kp_Lookup_1D</t>
    <phoneticPr fontId="1" type="noConversion"/>
  </si>
  <si>
    <t>IF时间</t>
    <phoneticPr fontId="1" type="noConversion"/>
  </si>
  <si>
    <t>IF转速</t>
    <phoneticPr fontId="1" type="noConversion"/>
  </si>
  <si>
    <t>IF_Iq</t>
    <phoneticPr fontId="1" type="noConversion"/>
  </si>
  <si>
    <t>IF_Start_Ramp_Sec</t>
  </si>
  <si>
    <t>IF_Start_Iq_A</t>
  </si>
  <si>
    <t>IF_Start_Speed_RPM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</si>
</sst>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0000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8"/>
      <color rgb="FF9CDCFE"/>
      <name val="Consolas"/>
      <family val="3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76" fontId="0" fillId="0" borderId="0" xfId="0" applyNumberFormat="1"/>
    <xf numFmtId="1" fontId="0" fillId="0" borderId="0" xfId="0" applyNumberFormat="1"/>
    <xf numFmtId="177" fontId="0" fillId="0" borderId="0" xfId="0" applyNumberFormat="1"/>
    <xf numFmtId="11" fontId="4" fillId="0" borderId="0" xfId="0" applyNumberFormat="1" applyFont="1" applyAlignment="1">
      <alignment vertical="center"/>
    </xf>
    <xf numFmtId="11" fontId="4" fillId="0" borderId="0" xfId="0" applyNumberFormat="1" applyFont="1"/>
    <xf numFmtId="11" fontId="4" fillId="2" borderId="0" xfId="0" applyNumberFormat="1" applyFont="1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19"/>
  <sheetViews>
    <sheetView workbookViewId="0">
      <selection activeCell="K8" sqref="K8"/>
    </sheetView>
  </sheetViews>
  <sheetFormatPr defaultRowHeight="13.8" x14ac:dyDescent="0.25"/>
  <cols>
    <col min="9" max="9" width="17.77734375" customWidth="1"/>
    <col min="10" max="10" width="19.44140625" customWidth="1"/>
    <col min="11" max="11" width="10.88671875" customWidth="1"/>
  </cols>
  <sheetData>
    <row r="2" spans="1:11" x14ac:dyDescent="0.25">
      <c r="A2" t="s">
        <v>0</v>
      </c>
      <c r="C2" t="s">
        <v>1</v>
      </c>
      <c r="E2" t="s">
        <v>2</v>
      </c>
      <c r="G2" t="s">
        <v>3</v>
      </c>
      <c r="I2" t="s">
        <v>13</v>
      </c>
      <c r="K2" t="s">
        <v>12</v>
      </c>
    </row>
    <row r="3" spans="1:11" x14ac:dyDescent="0.25">
      <c r="A3">
        <v>5000</v>
      </c>
      <c r="C3">
        <v>4</v>
      </c>
      <c r="E3">
        <f>A3/60*2*3.1415926</f>
        <v>523.59876666666662</v>
      </c>
      <c r="G3">
        <f>A3/60*2*3.1415926*C3</f>
        <v>2094.3950666666665</v>
      </c>
      <c r="I3">
        <v>20000</v>
      </c>
      <c r="K3">
        <f>1/I3</f>
        <v>5.0000000000000002E-5</v>
      </c>
    </row>
    <row r="6" spans="1:11" x14ac:dyDescent="0.25">
      <c r="A6" t="s">
        <v>4</v>
      </c>
      <c r="B6" t="s">
        <v>5</v>
      </c>
      <c r="C6" t="s">
        <v>6</v>
      </c>
      <c r="D6" t="s">
        <v>7</v>
      </c>
      <c r="E6" t="s">
        <v>8</v>
      </c>
      <c r="G6" t="s">
        <v>9</v>
      </c>
      <c r="I6" t="s">
        <v>10</v>
      </c>
      <c r="J6" t="s">
        <v>11</v>
      </c>
      <c r="K6" t="s">
        <v>15</v>
      </c>
    </row>
    <row r="7" spans="1:11" x14ac:dyDescent="0.25">
      <c r="A7">
        <v>0.1</v>
      </c>
      <c r="B7">
        <f>$A$3*A7</f>
        <v>500</v>
      </c>
      <c r="C7">
        <f>B7/60*2*3.1415926*$C$3</f>
        <v>209.43950666666669</v>
      </c>
      <c r="D7">
        <v>0.70699999999999996</v>
      </c>
      <c r="E7">
        <v>0.5</v>
      </c>
      <c r="G7">
        <f>C7*E7</f>
        <v>104.71975333333334</v>
      </c>
      <c r="I7">
        <f>2*D7*G7</f>
        <v>148.07373121333333</v>
      </c>
      <c r="J7">
        <f>G7*G7*$K$3</f>
        <v>0.54831133690970901</v>
      </c>
      <c r="K7" s="4">
        <v>100000</v>
      </c>
    </row>
    <row r="8" spans="1:11" x14ac:dyDescent="0.25">
      <c r="A8">
        <v>0.1</v>
      </c>
      <c r="B8">
        <f>$A$3*A8</f>
        <v>500</v>
      </c>
      <c r="C8">
        <f t="shared" ref="C8:C16" si="0">B8/60*2*3.1415926*$C$3</f>
        <v>209.43950666666669</v>
      </c>
      <c r="D8">
        <v>0.70699999999999996</v>
      </c>
      <c r="E8">
        <v>0.5</v>
      </c>
      <c r="G8">
        <f t="shared" ref="G8:G16" si="1">C8*E8</f>
        <v>104.71975333333334</v>
      </c>
      <c r="I8">
        <f>2*D8*G8</f>
        <v>148.07373121333333</v>
      </c>
      <c r="J8">
        <f t="shared" ref="J8:J16" si="2">G8*G8*$K$3</f>
        <v>0.54831133690970901</v>
      </c>
      <c r="K8" s="4">
        <v>100000</v>
      </c>
    </row>
    <row r="9" spans="1:11" x14ac:dyDescent="0.25">
      <c r="A9">
        <v>0.2</v>
      </c>
      <c r="B9">
        <f t="shared" ref="B9:B16" si="3">$A$3*A9</f>
        <v>1000</v>
      </c>
      <c r="C9">
        <f t="shared" si="0"/>
        <v>418.87901333333338</v>
      </c>
      <c r="D9">
        <v>0.70699999999999996</v>
      </c>
      <c r="E9">
        <v>0.5</v>
      </c>
      <c r="G9">
        <f t="shared" si="1"/>
        <v>209.43950666666669</v>
      </c>
      <c r="I9">
        <f t="shared" ref="I9:I16" si="4">2*D9*G9</f>
        <v>296.14746242666666</v>
      </c>
      <c r="J9">
        <f t="shared" si="2"/>
        <v>2.1932453476388361</v>
      </c>
      <c r="K9" s="4">
        <v>1000000</v>
      </c>
    </row>
    <row r="10" spans="1:11" x14ac:dyDescent="0.25">
      <c r="A10">
        <v>0.3</v>
      </c>
      <c r="B10">
        <f t="shared" si="3"/>
        <v>1500</v>
      </c>
      <c r="C10">
        <f t="shared" si="0"/>
        <v>628.31852000000003</v>
      </c>
      <c r="D10">
        <v>0.70699999999999996</v>
      </c>
      <c r="E10">
        <v>0.5</v>
      </c>
      <c r="G10">
        <f t="shared" si="1"/>
        <v>314.15926000000002</v>
      </c>
      <c r="I10">
        <f t="shared" si="4"/>
        <v>444.22119364000002</v>
      </c>
      <c r="J10">
        <f t="shared" si="2"/>
        <v>4.9348020321873802</v>
      </c>
      <c r="K10" s="4">
        <v>1000000</v>
      </c>
    </row>
    <row r="11" spans="1:11" x14ac:dyDescent="0.25">
      <c r="A11">
        <v>0.4</v>
      </c>
      <c r="B11">
        <f t="shared" si="3"/>
        <v>2000</v>
      </c>
      <c r="C11">
        <f t="shared" si="0"/>
        <v>837.75802666666675</v>
      </c>
      <c r="D11">
        <v>0.70699999999999996</v>
      </c>
      <c r="E11">
        <v>0.5</v>
      </c>
      <c r="G11">
        <f t="shared" si="1"/>
        <v>418.87901333333338</v>
      </c>
      <c r="I11">
        <f t="shared" si="4"/>
        <v>592.29492485333333</v>
      </c>
      <c r="J11">
        <f t="shared" si="2"/>
        <v>8.7729813905553442</v>
      </c>
      <c r="K11" s="4">
        <v>1000000</v>
      </c>
    </row>
    <row r="12" spans="1:11" x14ac:dyDescent="0.25">
      <c r="A12">
        <v>0.5</v>
      </c>
      <c r="B12">
        <f t="shared" si="3"/>
        <v>2500</v>
      </c>
      <c r="C12">
        <f t="shared" si="0"/>
        <v>1047.1975333333332</v>
      </c>
      <c r="D12">
        <v>0.70699999999999996</v>
      </c>
      <c r="E12">
        <v>0.5</v>
      </c>
      <c r="G12">
        <f t="shared" si="1"/>
        <v>523.59876666666662</v>
      </c>
      <c r="I12">
        <f t="shared" si="4"/>
        <v>740.36865606666652</v>
      </c>
      <c r="J12">
        <f t="shared" si="2"/>
        <v>13.70778342274272</v>
      </c>
      <c r="K12" s="4">
        <v>2000000</v>
      </c>
    </row>
    <row r="13" spans="1:11" x14ac:dyDescent="0.25">
      <c r="A13">
        <v>0.6</v>
      </c>
      <c r="B13">
        <f t="shared" si="3"/>
        <v>3000</v>
      </c>
      <c r="C13">
        <f t="shared" si="0"/>
        <v>1256.6370400000001</v>
      </c>
      <c r="D13">
        <v>0.70699999999999996</v>
      </c>
      <c r="E13">
        <v>0.5</v>
      </c>
      <c r="G13">
        <f t="shared" si="1"/>
        <v>628.31852000000003</v>
      </c>
      <c r="I13">
        <f t="shared" si="4"/>
        <v>888.44238728000005</v>
      </c>
      <c r="J13">
        <f t="shared" si="2"/>
        <v>19.739208128749521</v>
      </c>
      <c r="K13" s="4">
        <v>3000000</v>
      </c>
    </row>
    <row r="14" spans="1:11" x14ac:dyDescent="0.25">
      <c r="A14">
        <v>0.7</v>
      </c>
      <c r="B14">
        <f t="shared" si="3"/>
        <v>3500</v>
      </c>
      <c r="C14">
        <f t="shared" si="0"/>
        <v>1466.0765466666667</v>
      </c>
      <c r="D14">
        <v>0.70699999999999996</v>
      </c>
      <c r="E14">
        <v>0.5</v>
      </c>
      <c r="G14">
        <f t="shared" si="1"/>
        <v>733.03827333333334</v>
      </c>
      <c r="I14">
        <f t="shared" si="4"/>
        <v>1036.5161184933334</v>
      </c>
      <c r="J14">
        <f t="shared" si="2"/>
        <v>26.867255508575735</v>
      </c>
      <c r="K14" s="4">
        <v>4000000</v>
      </c>
    </row>
    <row r="15" spans="1:11" x14ac:dyDescent="0.25">
      <c r="A15">
        <v>0.8</v>
      </c>
      <c r="B15">
        <f t="shared" si="3"/>
        <v>4000</v>
      </c>
      <c r="C15">
        <f t="shared" si="0"/>
        <v>1675.5160533333335</v>
      </c>
      <c r="D15">
        <v>0.70699999999999996</v>
      </c>
      <c r="E15">
        <v>0.5</v>
      </c>
      <c r="G15">
        <f t="shared" si="1"/>
        <v>837.75802666666675</v>
      </c>
      <c r="I15">
        <f t="shared" si="4"/>
        <v>1184.5898497066667</v>
      </c>
      <c r="J15">
        <f t="shared" si="2"/>
        <v>35.091925562221377</v>
      </c>
      <c r="K15" s="4">
        <v>5000000</v>
      </c>
    </row>
    <row r="16" spans="1:11" x14ac:dyDescent="0.25">
      <c r="A16">
        <v>1</v>
      </c>
      <c r="B16">
        <f t="shared" si="3"/>
        <v>5000</v>
      </c>
      <c r="C16">
        <f t="shared" si="0"/>
        <v>2094.3950666666665</v>
      </c>
      <c r="D16">
        <v>0.70699999999999996</v>
      </c>
      <c r="E16">
        <v>0.5</v>
      </c>
      <c r="G16">
        <f t="shared" si="1"/>
        <v>1047.1975333333332</v>
      </c>
      <c r="I16">
        <f t="shared" si="4"/>
        <v>1480.737312133333</v>
      </c>
      <c r="J16">
        <f t="shared" si="2"/>
        <v>54.83113369097088</v>
      </c>
      <c r="K16" s="4">
        <v>5000000</v>
      </c>
    </row>
    <row r="18" spans="1:11" x14ac:dyDescent="0.25">
      <c r="A18" t="s">
        <v>14</v>
      </c>
      <c r="B18" s="1" t="s">
        <v>21</v>
      </c>
      <c r="I18" s="1" t="s">
        <v>23</v>
      </c>
      <c r="J18" s="1" t="s">
        <v>24</v>
      </c>
      <c r="K18" s="1" t="s">
        <v>22</v>
      </c>
    </row>
    <row r="19" spans="1:11" x14ac:dyDescent="0.25">
      <c r="A19" t="s">
        <v>16</v>
      </c>
      <c r="B19" t="s">
        <v>17</v>
      </c>
      <c r="I19" t="s">
        <v>17</v>
      </c>
      <c r="J19" t="s">
        <v>17</v>
      </c>
      <c r="K19" t="s">
        <v>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DE823-BC6C-4599-A37B-5D0857471AA8}">
  <dimension ref="A2:K19"/>
  <sheetViews>
    <sheetView workbookViewId="0">
      <selection activeCell="J18" sqref="J18"/>
    </sheetView>
  </sheetViews>
  <sheetFormatPr defaultRowHeight="13.8" x14ac:dyDescent="0.25"/>
  <cols>
    <col min="8" max="8" width="16.88671875" customWidth="1"/>
    <col min="9" max="9" width="25.6640625" customWidth="1"/>
    <col min="10" max="10" width="25.33203125" customWidth="1"/>
    <col min="11" max="11" width="19.109375" customWidth="1"/>
  </cols>
  <sheetData>
    <row r="2" spans="1:11" x14ac:dyDescent="0.25">
      <c r="A2" t="s">
        <v>0</v>
      </c>
      <c r="C2" t="s">
        <v>1</v>
      </c>
      <c r="E2" t="s">
        <v>2</v>
      </c>
      <c r="G2" t="s">
        <v>3</v>
      </c>
      <c r="I2" t="s">
        <v>13</v>
      </c>
      <c r="J2" t="s">
        <v>18</v>
      </c>
      <c r="K2" t="s">
        <v>12</v>
      </c>
    </row>
    <row r="3" spans="1:11" x14ac:dyDescent="0.25">
      <c r="A3">
        <v>5000</v>
      </c>
      <c r="C3">
        <v>4</v>
      </c>
      <c r="E3">
        <f>A3/60*2*3.1415926</f>
        <v>523.59876666666662</v>
      </c>
      <c r="G3">
        <f>A3/60*2*3.1415926*C3</f>
        <v>2094.3950666666665</v>
      </c>
      <c r="I3">
        <v>20000</v>
      </c>
      <c r="J3">
        <v>4.3</v>
      </c>
      <c r="K3">
        <f>1/I3</f>
        <v>5.0000000000000002E-5</v>
      </c>
    </row>
    <row r="6" spans="1:11" x14ac:dyDescent="0.25">
      <c r="A6" t="s">
        <v>4</v>
      </c>
      <c r="B6" t="s">
        <v>5</v>
      </c>
      <c r="C6" t="s">
        <v>6</v>
      </c>
      <c r="D6" t="s">
        <v>7</v>
      </c>
      <c r="E6" t="s">
        <v>8</v>
      </c>
      <c r="G6" t="s">
        <v>9</v>
      </c>
      <c r="H6" t="s">
        <v>19</v>
      </c>
      <c r="I6" t="s">
        <v>10</v>
      </c>
      <c r="J6" t="s">
        <v>11</v>
      </c>
      <c r="K6" t="s">
        <v>15</v>
      </c>
    </row>
    <row r="7" spans="1:11" x14ac:dyDescent="0.25">
      <c r="A7">
        <v>0.1</v>
      </c>
      <c r="B7">
        <f>$A$3*A7</f>
        <v>500</v>
      </c>
      <c r="C7">
        <f>B7/60*2*3.1415926*$C$3</f>
        <v>209.43950666666669</v>
      </c>
      <c r="D7">
        <v>0.70699999999999996</v>
      </c>
      <c r="E7">
        <v>0.5</v>
      </c>
      <c r="G7">
        <f>C7*E7</f>
        <v>104.71975333333334</v>
      </c>
      <c r="H7">
        <f>$J$3*B7/1000</f>
        <v>2.15</v>
      </c>
      <c r="I7">
        <f>2*D7*G7/H7</f>
        <v>68.871502889922482</v>
      </c>
      <c r="J7">
        <f>G7*G7*$K$3/H7</f>
        <v>0.25502852879521348</v>
      </c>
      <c r="K7" s="3">
        <v>4</v>
      </c>
    </row>
    <row r="8" spans="1:11" x14ac:dyDescent="0.25">
      <c r="A8">
        <v>0.1</v>
      </c>
      <c r="B8">
        <f>$A$3*A8</f>
        <v>500</v>
      </c>
      <c r="C8">
        <f t="shared" ref="C8:C16" si="0">B8/60*2*3.1415926*$C$3</f>
        <v>209.43950666666669</v>
      </c>
      <c r="D8">
        <v>0.70699999999999996</v>
      </c>
      <c r="E8">
        <v>0.5</v>
      </c>
      <c r="G8">
        <f t="shared" ref="G8:G16" si="1">C8*E8</f>
        <v>104.71975333333334</v>
      </c>
      <c r="H8">
        <f t="shared" ref="H8:H16" si="2">$J$3*B8/1000</f>
        <v>2.15</v>
      </c>
      <c r="I8">
        <f t="shared" ref="I8:I16" si="3">2*D8*G8/H8</f>
        <v>68.871502889922482</v>
      </c>
      <c r="J8">
        <f t="shared" ref="J8:J16" si="4">G8*G8*$K$3/H8</f>
        <v>0.25502852879521348</v>
      </c>
      <c r="K8" s="3">
        <v>4</v>
      </c>
    </row>
    <row r="9" spans="1:11" x14ac:dyDescent="0.25">
      <c r="A9">
        <v>0.2</v>
      </c>
      <c r="B9">
        <f t="shared" ref="B9:B16" si="5">$A$3*A9</f>
        <v>1000</v>
      </c>
      <c r="C9">
        <f t="shared" si="0"/>
        <v>418.87901333333338</v>
      </c>
      <c r="D9">
        <v>0.70699999999999996</v>
      </c>
      <c r="E9">
        <v>0.5</v>
      </c>
      <c r="G9">
        <f t="shared" si="1"/>
        <v>209.43950666666669</v>
      </c>
      <c r="H9">
        <f t="shared" si="2"/>
        <v>4.3</v>
      </c>
      <c r="I9">
        <f t="shared" si="3"/>
        <v>68.871502889922482</v>
      </c>
      <c r="J9">
        <f t="shared" si="4"/>
        <v>0.51005705759042697</v>
      </c>
      <c r="K9" s="3">
        <v>4</v>
      </c>
    </row>
    <row r="10" spans="1:11" x14ac:dyDescent="0.25">
      <c r="A10">
        <v>0.3</v>
      </c>
      <c r="B10">
        <f t="shared" si="5"/>
        <v>1500</v>
      </c>
      <c r="C10">
        <f t="shared" si="0"/>
        <v>628.31852000000003</v>
      </c>
      <c r="D10">
        <v>0.70699999999999996</v>
      </c>
      <c r="E10">
        <v>0.5</v>
      </c>
      <c r="G10">
        <f t="shared" si="1"/>
        <v>314.15926000000002</v>
      </c>
      <c r="H10">
        <f t="shared" si="2"/>
        <v>6.45</v>
      </c>
      <c r="I10">
        <f t="shared" si="3"/>
        <v>68.871502889922482</v>
      </c>
      <c r="J10">
        <f t="shared" si="4"/>
        <v>0.76508558638564028</v>
      </c>
      <c r="K10" s="3">
        <v>4</v>
      </c>
    </row>
    <row r="11" spans="1:11" x14ac:dyDescent="0.25">
      <c r="A11">
        <v>0.4</v>
      </c>
      <c r="B11">
        <f t="shared" si="5"/>
        <v>2000</v>
      </c>
      <c r="C11">
        <f t="shared" si="0"/>
        <v>837.75802666666675</v>
      </c>
      <c r="D11">
        <v>0.70699999999999996</v>
      </c>
      <c r="E11">
        <v>0.5</v>
      </c>
      <c r="G11">
        <f t="shared" si="1"/>
        <v>418.87901333333338</v>
      </c>
      <c r="H11">
        <f t="shared" si="2"/>
        <v>8.6</v>
      </c>
      <c r="I11">
        <f t="shared" si="3"/>
        <v>68.871502889922482</v>
      </c>
      <c r="J11">
        <f t="shared" si="4"/>
        <v>1.0201141151808539</v>
      </c>
      <c r="K11" s="3">
        <v>4</v>
      </c>
    </row>
    <row r="12" spans="1:11" x14ac:dyDescent="0.25">
      <c r="A12">
        <v>0.5</v>
      </c>
      <c r="B12">
        <f t="shared" si="5"/>
        <v>2500</v>
      </c>
      <c r="C12">
        <f t="shared" si="0"/>
        <v>1047.1975333333332</v>
      </c>
      <c r="D12">
        <v>0.70699999999999996</v>
      </c>
      <c r="E12">
        <v>0.5</v>
      </c>
      <c r="G12">
        <f t="shared" si="1"/>
        <v>523.59876666666662</v>
      </c>
      <c r="H12">
        <f t="shared" si="2"/>
        <v>10.75</v>
      </c>
      <c r="I12">
        <f t="shared" si="3"/>
        <v>68.871502889922468</v>
      </c>
      <c r="J12">
        <f t="shared" si="4"/>
        <v>1.2751426439760669</v>
      </c>
      <c r="K12" s="3">
        <v>4</v>
      </c>
    </row>
    <row r="13" spans="1:11" x14ac:dyDescent="0.25">
      <c r="A13">
        <v>0.6</v>
      </c>
      <c r="B13">
        <f t="shared" si="5"/>
        <v>3000</v>
      </c>
      <c r="C13">
        <f t="shared" si="0"/>
        <v>1256.6370400000001</v>
      </c>
      <c r="D13">
        <v>0.70699999999999996</v>
      </c>
      <c r="E13">
        <v>0.5</v>
      </c>
      <c r="G13">
        <f t="shared" si="1"/>
        <v>628.31852000000003</v>
      </c>
      <c r="H13">
        <f t="shared" si="2"/>
        <v>12.9</v>
      </c>
      <c r="I13">
        <f t="shared" si="3"/>
        <v>68.871502889922482</v>
      </c>
      <c r="J13">
        <f t="shared" si="4"/>
        <v>1.5301711727712806</v>
      </c>
      <c r="K13" s="3">
        <v>4</v>
      </c>
    </row>
    <row r="14" spans="1:11" x14ac:dyDescent="0.25">
      <c r="A14">
        <v>0.7</v>
      </c>
      <c r="B14">
        <f t="shared" si="5"/>
        <v>3500</v>
      </c>
      <c r="C14">
        <f t="shared" si="0"/>
        <v>1466.0765466666667</v>
      </c>
      <c r="D14">
        <v>0.70699999999999996</v>
      </c>
      <c r="E14">
        <v>0.5</v>
      </c>
      <c r="G14">
        <f t="shared" si="1"/>
        <v>733.03827333333334</v>
      </c>
      <c r="H14">
        <f t="shared" si="2"/>
        <v>15.05</v>
      </c>
      <c r="I14">
        <f t="shared" si="3"/>
        <v>68.871502889922482</v>
      </c>
      <c r="J14">
        <f t="shared" si="4"/>
        <v>1.785199701566494</v>
      </c>
      <c r="K14" s="3">
        <v>4</v>
      </c>
    </row>
    <row r="15" spans="1:11" x14ac:dyDescent="0.25">
      <c r="A15">
        <v>0.8</v>
      </c>
      <c r="B15">
        <f t="shared" si="5"/>
        <v>4000</v>
      </c>
      <c r="C15">
        <f t="shared" si="0"/>
        <v>1675.5160533333335</v>
      </c>
      <c r="D15">
        <v>0.70699999999999996</v>
      </c>
      <c r="E15">
        <v>0.5</v>
      </c>
      <c r="G15">
        <f t="shared" si="1"/>
        <v>837.75802666666675</v>
      </c>
      <c r="H15">
        <f t="shared" si="2"/>
        <v>17.2</v>
      </c>
      <c r="I15">
        <f t="shared" si="3"/>
        <v>68.871502889922482</v>
      </c>
      <c r="J15">
        <f t="shared" si="4"/>
        <v>2.0402282303617079</v>
      </c>
      <c r="K15" s="3">
        <v>4</v>
      </c>
    </row>
    <row r="16" spans="1:11" x14ac:dyDescent="0.25">
      <c r="A16">
        <v>1</v>
      </c>
      <c r="B16">
        <f t="shared" si="5"/>
        <v>5000</v>
      </c>
      <c r="C16">
        <f t="shared" si="0"/>
        <v>2094.3950666666665</v>
      </c>
      <c r="D16">
        <v>0.70699999999999996</v>
      </c>
      <c r="E16">
        <v>0.5</v>
      </c>
      <c r="G16">
        <f t="shared" si="1"/>
        <v>1047.1975333333332</v>
      </c>
      <c r="H16">
        <f t="shared" si="2"/>
        <v>21.5</v>
      </c>
      <c r="I16">
        <f t="shared" si="3"/>
        <v>68.871502889922468</v>
      </c>
      <c r="J16">
        <f t="shared" si="4"/>
        <v>2.5502852879521338</v>
      </c>
      <c r="K16" s="3">
        <v>4</v>
      </c>
    </row>
    <row r="18" spans="1:11" x14ac:dyDescent="0.25">
      <c r="A18" t="s">
        <v>14</v>
      </c>
      <c r="B18" s="1" t="s">
        <v>20</v>
      </c>
      <c r="I18" s="1" t="s">
        <v>46</v>
      </c>
      <c r="J18" s="1" t="s">
        <v>26</v>
      </c>
      <c r="K18" s="1" t="s">
        <v>25</v>
      </c>
    </row>
    <row r="19" spans="1:11" x14ac:dyDescent="0.25">
      <c r="A19" t="s">
        <v>16</v>
      </c>
      <c r="B19" t="s">
        <v>17</v>
      </c>
      <c r="I19" t="s">
        <v>17</v>
      </c>
      <c r="J19" t="s">
        <v>17</v>
      </c>
      <c r="K19" t="s">
        <v>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ACED9-E871-45D1-8053-80BA01B87099}">
  <dimension ref="A2:L22"/>
  <sheetViews>
    <sheetView tabSelected="1" workbookViewId="0">
      <selection activeCell="H15" sqref="H15"/>
    </sheetView>
  </sheetViews>
  <sheetFormatPr defaultRowHeight="13.8" x14ac:dyDescent="0.25"/>
  <cols>
    <col min="8" max="8" width="16.88671875" customWidth="1"/>
    <col min="9" max="9" width="25.6640625" customWidth="1"/>
    <col min="10" max="10" width="25.33203125" customWidth="1"/>
    <col min="11" max="11" width="19.109375" customWidth="1"/>
    <col min="12" max="12" width="14.44140625" customWidth="1"/>
  </cols>
  <sheetData>
    <row r="2" spans="1:12" x14ac:dyDescent="0.25">
      <c r="A2" t="s">
        <v>0</v>
      </c>
      <c r="C2" t="s">
        <v>1</v>
      </c>
      <c r="E2" t="s">
        <v>2</v>
      </c>
      <c r="G2" t="s">
        <v>3</v>
      </c>
      <c r="I2" t="s">
        <v>13</v>
      </c>
      <c r="J2" t="s">
        <v>18</v>
      </c>
      <c r="K2" t="s">
        <v>12</v>
      </c>
    </row>
    <row r="3" spans="1:12" x14ac:dyDescent="0.25">
      <c r="A3">
        <v>5000</v>
      </c>
      <c r="C3">
        <v>4</v>
      </c>
      <c r="E3">
        <f>A3/60*2*3.1415926</f>
        <v>523.59876666666662</v>
      </c>
      <c r="G3">
        <f>A3/60*2*3.1415926*C3</f>
        <v>2094.3950666666665</v>
      </c>
      <c r="I3">
        <v>20000</v>
      </c>
      <c r="J3">
        <v>4.3</v>
      </c>
      <c r="K3">
        <f>1/I3</f>
        <v>5.0000000000000002E-5</v>
      </c>
    </row>
    <row r="5" spans="1:12" x14ac:dyDescent="0.25">
      <c r="A5" t="s">
        <v>27</v>
      </c>
      <c r="C5" t="s">
        <v>28</v>
      </c>
      <c r="E5" t="s">
        <v>29</v>
      </c>
    </row>
    <row r="6" spans="1:12" x14ac:dyDescent="0.25">
      <c r="A6" s="2">
        <v>5.0000000000000001E-4</v>
      </c>
      <c r="C6" s="2">
        <v>5.9000000000000003E-4</v>
      </c>
      <c r="E6" s="2">
        <v>1.02</v>
      </c>
    </row>
    <row r="9" spans="1:12" x14ac:dyDescent="0.25">
      <c r="A9" t="s">
        <v>4</v>
      </c>
      <c r="B9" t="s">
        <v>5</v>
      </c>
      <c r="C9" t="s">
        <v>6</v>
      </c>
      <c r="E9" t="s">
        <v>4</v>
      </c>
      <c r="F9" t="s">
        <v>34</v>
      </c>
      <c r="I9" t="s">
        <v>30</v>
      </c>
      <c r="J9" t="s">
        <v>33</v>
      </c>
      <c r="K9" t="s">
        <v>32</v>
      </c>
      <c r="L9" t="s">
        <v>31</v>
      </c>
    </row>
    <row r="10" spans="1:12" x14ac:dyDescent="0.25">
      <c r="A10">
        <v>0.1</v>
      </c>
      <c r="B10">
        <f>$A$3*A10</f>
        <v>500</v>
      </c>
      <c r="C10">
        <f>B10/60*2*3.1415926*$C$3</f>
        <v>209.43950666666669</v>
      </c>
      <c r="E10">
        <v>20</v>
      </c>
      <c r="F10">
        <f>$I$3/E10</f>
        <v>1000</v>
      </c>
      <c r="I10" s="5">
        <f>$A$6*F10*3.1415926*2</f>
        <v>3.1415926000000001</v>
      </c>
      <c r="J10" s="5">
        <f>$E$6*F10*$K$3*3.1415926*2</f>
        <v>0.32044244520000004</v>
      </c>
      <c r="K10" s="5">
        <f>$C$6*F10*3.1415926*2</f>
        <v>3.7070792680000006</v>
      </c>
      <c r="L10" s="5">
        <f>$E$6*F10*$K$3*3.1415926*2</f>
        <v>0.32044244520000004</v>
      </c>
    </row>
    <row r="11" spans="1:12" x14ac:dyDescent="0.25">
      <c r="A11">
        <v>0.1</v>
      </c>
      <c r="B11">
        <f>$A$3*A11</f>
        <v>500</v>
      </c>
      <c r="C11">
        <f t="shared" ref="C11:C19" si="0">B11/60*2*3.1415926*$C$3</f>
        <v>209.43950666666669</v>
      </c>
      <c r="E11">
        <v>20</v>
      </c>
      <c r="F11">
        <f t="shared" ref="F11:F19" si="1">$I$3/E11</f>
        <v>1000</v>
      </c>
      <c r="I11" s="5">
        <f t="shared" ref="I11:I19" si="2">$A$6*F11*3.1415926*2</f>
        <v>3.1415926000000001</v>
      </c>
      <c r="J11" s="5">
        <f t="shared" ref="J11:J19" si="3">$E$6*F11*$K$3*3.1415926*2</f>
        <v>0.32044244520000004</v>
      </c>
      <c r="K11" s="5">
        <f t="shared" ref="K11:K19" si="4">$C$6*F11*3.1415926*2</f>
        <v>3.7070792680000006</v>
      </c>
      <c r="L11" s="5">
        <f t="shared" ref="L11:L19" si="5">$E$6*F11*$K$3*3.1415926*2</f>
        <v>0.32044244520000004</v>
      </c>
    </row>
    <row r="12" spans="1:12" x14ac:dyDescent="0.25">
      <c r="A12">
        <v>0.2</v>
      </c>
      <c r="B12">
        <f t="shared" ref="B12:B19" si="6">$A$3*A12</f>
        <v>1000</v>
      </c>
      <c r="C12">
        <f t="shared" si="0"/>
        <v>418.87901333333338</v>
      </c>
      <c r="E12">
        <v>20</v>
      </c>
      <c r="F12">
        <f t="shared" si="1"/>
        <v>1000</v>
      </c>
      <c r="I12" s="5">
        <f t="shared" si="2"/>
        <v>3.1415926000000001</v>
      </c>
      <c r="J12" s="5">
        <f t="shared" si="3"/>
        <v>0.32044244520000004</v>
      </c>
      <c r="K12" s="5">
        <f t="shared" si="4"/>
        <v>3.7070792680000006</v>
      </c>
      <c r="L12" s="5">
        <f t="shared" si="5"/>
        <v>0.32044244520000004</v>
      </c>
    </row>
    <row r="13" spans="1:12" x14ac:dyDescent="0.25">
      <c r="A13">
        <v>0.3</v>
      </c>
      <c r="B13">
        <f t="shared" si="6"/>
        <v>1500</v>
      </c>
      <c r="C13">
        <f t="shared" si="0"/>
        <v>628.31852000000003</v>
      </c>
      <c r="E13">
        <v>20</v>
      </c>
      <c r="F13">
        <f t="shared" si="1"/>
        <v>1000</v>
      </c>
      <c r="I13" s="5">
        <f t="shared" si="2"/>
        <v>3.1415926000000001</v>
      </c>
      <c r="J13" s="5">
        <f t="shared" si="3"/>
        <v>0.32044244520000004</v>
      </c>
      <c r="K13" s="5">
        <f t="shared" si="4"/>
        <v>3.7070792680000006</v>
      </c>
      <c r="L13" s="5">
        <f t="shared" si="5"/>
        <v>0.32044244520000004</v>
      </c>
    </row>
    <row r="14" spans="1:12" x14ac:dyDescent="0.25">
      <c r="A14">
        <v>0.4</v>
      </c>
      <c r="B14">
        <f t="shared" si="6"/>
        <v>2000</v>
      </c>
      <c r="C14">
        <f t="shared" si="0"/>
        <v>837.75802666666675</v>
      </c>
      <c r="E14">
        <v>30</v>
      </c>
      <c r="F14">
        <f t="shared" si="1"/>
        <v>666.66666666666663</v>
      </c>
      <c r="I14" s="5">
        <f t="shared" si="2"/>
        <v>2.0943950666666664</v>
      </c>
      <c r="J14" s="5">
        <f t="shared" si="3"/>
        <v>0.21362829680000003</v>
      </c>
      <c r="K14" s="5">
        <f t="shared" si="4"/>
        <v>2.4713861786666667</v>
      </c>
      <c r="L14" s="5">
        <f t="shared" si="5"/>
        <v>0.21362829680000003</v>
      </c>
    </row>
    <row r="15" spans="1:12" x14ac:dyDescent="0.25">
      <c r="A15">
        <v>0.5</v>
      </c>
      <c r="B15">
        <f t="shared" si="6"/>
        <v>2500</v>
      </c>
      <c r="C15">
        <f t="shared" si="0"/>
        <v>1047.1975333333332</v>
      </c>
      <c r="E15">
        <v>30</v>
      </c>
      <c r="F15">
        <f t="shared" si="1"/>
        <v>666.66666666666663</v>
      </c>
      <c r="I15" s="5">
        <f t="shared" si="2"/>
        <v>2.0943950666666664</v>
      </c>
      <c r="J15" s="5">
        <f t="shared" si="3"/>
        <v>0.21362829680000003</v>
      </c>
      <c r="K15" s="5">
        <f t="shared" si="4"/>
        <v>2.4713861786666667</v>
      </c>
      <c r="L15" s="5">
        <f t="shared" si="5"/>
        <v>0.21362829680000003</v>
      </c>
    </row>
    <row r="16" spans="1:12" x14ac:dyDescent="0.25">
      <c r="A16">
        <v>0.6</v>
      </c>
      <c r="B16">
        <f t="shared" si="6"/>
        <v>3000</v>
      </c>
      <c r="C16">
        <f t="shared" si="0"/>
        <v>1256.6370400000001</v>
      </c>
      <c r="E16">
        <v>40</v>
      </c>
      <c r="F16">
        <f t="shared" si="1"/>
        <v>500</v>
      </c>
      <c r="I16" s="5">
        <f t="shared" si="2"/>
        <v>1.5707963</v>
      </c>
      <c r="J16" s="5">
        <f t="shared" si="3"/>
        <v>0.16022122260000002</v>
      </c>
      <c r="K16" s="5">
        <f t="shared" si="4"/>
        <v>1.8535396340000003</v>
      </c>
      <c r="L16" s="5">
        <f t="shared" si="5"/>
        <v>0.16022122260000002</v>
      </c>
    </row>
    <row r="17" spans="1:12" x14ac:dyDescent="0.25">
      <c r="A17">
        <v>0.7</v>
      </c>
      <c r="B17">
        <f t="shared" si="6"/>
        <v>3500</v>
      </c>
      <c r="C17">
        <f t="shared" si="0"/>
        <v>1466.0765466666667</v>
      </c>
      <c r="E17">
        <v>45</v>
      </c>
      <c r="F17">
        <f t="shared" si="1"/>
        <v>444.44444444444446</v>
      </c>
      <c r="I17" s="5">
        <f t="shared" si="2"/>
        <v>1.396263377777778</v>
      </c>
      <c r="J17" s="5">
        <f t="shared" si="3"/>
        <v>0.14241886453333336</v>
      </c>
      <c r="K17" s="5">
        <f t="shared" si="4"/>
        <v>1.6475907857777781</v>
      </c>
      <c r="L17" s="5">
        <f t="shared" si="5"/>
        <v>0.14241886453333336</v>
      </c>
    </row>
    <row r="18" spans="1:12" x14ac:dyDescent="0.25">
      <c r="A18">
        <v>0.8</v>
      </c>
      <c r="B18">
        <f t="shared" si="6"/>
        <v>4000</v>
      </c>
      <c r="C18">
        <f t="shared" si="0"/>
        <v>1675.5160533333335</v>
      </c>
      <c r="E18">
        <v>50</v>
      </c>
      <c r="F18">
        <f t="shared" si="1"/>
        <v>400</v>
      </c>
      <c r="I18" s="5">
        <f t="shared" si="2"/>
        <v>1.2566370400000002</v>
      </c>
      <c r="J18" s="5">
        <f t="shared" si="3"/>
        <v>0.12817697808</v>
      </c>
      <c r="K18" s="5">
        <f t="shared" si="4"/>
        <v>1.4828317072000001</v>
      </c>
      <c r="L18" s="5">
        <f t="shared" si="5"/>
        <v>0.12817697808</v>
      </c>
    </row>
    <row r="19" spans="1:12" x14ac:dyDescent="0.25">
      <c r="A19">
        <v>1</v>
      </c>
      <c r="B19">
        <f t="shared" si="6"/>
        <v>5000</v>
      </c>
      <c r="C19">
        <f t="shared" si="0"/>
        <v>2094.3950666666665</v>
      </c>
      <c r="E19">
        <v>50</v>
      </c>
      <c r="F19">
        <f t="shared" si="1"/>
        <v>400</v>
      </c>
      <c r="I19" s="5">
        <f t="shared" si="2"/>
        <v>1.2566370400000002</v>
      </c>
      <c r="J19" s="5">
        <f t="shared" si="3"/>
        <v>0.12817697808</v>
      </c>
      <c r="K19" s="5">
        <f t="shared" si="4"/>
        <v>1.4828317072000001</v>
      </c>
      <c r="L19" s="5">
        <f t="shared" si="5"/>
        <v>0.12817697808</v>
      </c>
    </row>
    <row r="21" spans="1:12" x14ac:dyDescent="0.25">
      <c r="A21" t="s">
        <v>14</v>
      </c>
      <c r="B21" s="1" t="s">
        <v>42</v>
      </c>
      <c r="I21" s="1" t="s">
        <v>35</v>
      </c>
      <c r="J21" s="1" t="s">
        <v>43</v>
      </c>
      <c r="K21" s="1" t="s">
        <v>44</v>
      </c>
      <c r="L21" s="1" t="s">
        <v>36</v>
      </c>
    </row>
    <row r="22" spans="1:12" x14ac:dyDescent="0.25">
      <c r="A22" t="s">
        <v>16</v>
      </c>
      <c r="B22" t="s">
        <v>17</v>
      </c>
      <c r="I22" t="s">
        <v>17</v>
      </c>
      <c r="J22" t="s">
        <v>17</v>
      </c>
      <c r="K22" t="s">
        <v>17</v>
      </c>
      <c r="L22" t="s">
        <v>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F049C-DBC9-430D-8ECA-E64E9852A9F5}">
  <dimension ref="A2:M22"/>
  <sheetViews>
    <sheetView workbookViewId="0">
      <selection activeCell="H12" sqref="H12"/>
    </sheetView>
  </sheetViews>
  <sheetFormatPr defaultRowHeight="13.8" x14ac:dyDescent="0.25"/>
  <cols>
    <col min="8" max="8" width="16.88671875" customWidth="1"/>
    <col min="9" max="9" width="25.6640625" customWidth="1"/>
    <col min="10" max="10" width="25.33203125" customWidth="1"/>
    <col min="11" max="11" width="19.109375" customWidth="1"/>
  </cols>
  <sheetData>
    <row r="2" spans="1:13" x14ac:dyDescent="0.25">
      <c r="A2" t="s">
        <v>0</v>
      </c>
      <c r="C2" t="s">
        <v>1</v>
      </c>
      <c r="E2" t="s">
        <v>2</v>
      </c>
      <c r="G2" t="s">
        <v>3</v>
      </c>
      <c r="I2" t="s">
        <v>13</v>
      </c>
      <c r="J2" t="s">
        <v>18</v>
      </c>
      <c r="K2" t="s">
        <v>12</v>
      </c>
      <c r="M2" t="s">
        <v>37</v>
      </c>
    </row>
    <row r="3" spans="1:13" x14ac:dyDescent="0.25">
      <c r="A3">
        <v>5000</v>
      </c>
      <c r="C3">
        <v>4</v>
      </c>
      <c r="E3">
        <f>A3/60*2*3.1415926</f>
        <v>523.59876666666662</v>
      </c>
      <c r="G3">
        <f>A3/60*2*3.1415926*C3</f>
        <v>2094.3950666666665</v>
      </c>
      <c r="I3">
        <v>20000</v>
      </c>
      <c r="J3">
        <v>4.3</v>
      </c>
      <c r="K3">
        <f>1/I3</f>
        <v>5.0000000000000002E-5</v>
      </c>
    </row>
    <row r="5" spans="1:13" x14ac:dyDescent="0.25">
      <c r="A5" t="s">
        <v>27</v>
      </c>
      <c r="C5" t="s">
        <v>28</v>
      </c>
      <c r="E5" t="s">
        <v>29</v>
      </c>
    </row>
    <row r="6" spans="1:13" x14ac:dyDescent="0.25">
      <c r="A6" s="2">
        <v>5.0000000000000001E-4</v>
      </c>
      <c r="C6" s="2">
        <v>5.9000000000000003E-4</v>
      </c>
      <c r="E6" s="2">
        <v>1.02</v>
      </c>
    </row>
    <row r="9" spans="1:13" x14ac:dyDescent="0.25">
      <c r="A9" t="s">
        <v>4</v>
      </c>
      <c r="B9" t="s">
        <v>5</v>
      </c>
      <c r="C9" t="s">
        <v>6</v>
      </c>
      <c r="I9" t="s">
        <v>38</v>
      </c>
      <c r="J9" t="s">
        <v>39</v>
      </c>
    </row>
    <row r="10" spans="1:13" x14ac:dyDescent="0.25">
      <c r="A10">
        <v>0.1</v>
      </c>
      <c r="B10">
        <f>$A$3*A10</f>
        <v>500</v>
      </c>
      <c r="C10">
        <f>B10/60*2*3.1415926*$C$3</f>
        <v>209.43950666666669</v>
      </c>
      <c r="I10" s="6">
        <v>9.1755000000000005E-4</v>
      </c>
      <c r="J10" s="6">
        <v>9.1608999999999997E-5</v>
      </c>
      <c r="K10" s="5"/>
      <c r="L10" s="5"/>
    </row>
    <row r="11" spans="1:13" x14ac:dyDescent="0.25">
      <c r="A11">
        <v>0.1</v>
      </c>
      <c r="B11">
        <f>$A$3*A11</f>
        <v>500</v>
      </c>
      <c r="C11">
        <f t="shared" ref="C11:C19" si="0">B11/60*2*3.1415926*$C$3</f>
        <v>209.43950666666669</v>
      </c>
      <c r="I11" s="6">
        <v>8.1755E-4</v>
      </c>
      <c r="J11" s="6">
        <v>7.1608999999999998E-5</v>
      </c>
      <c r="K11" s="5"/>
      <c r="L11" s="5"/>
    </row>
    <row r="12" spans="1:13" x14ac:dyDescent="0.25">
      <c r="A12">
        <v>0.2</v>
      </c>
      <c r="B12">
        <f t="shared" ref="B12:B19" si="1">$A$3*A12</f>
        <v>1000</v>
      </c>
      <c r="C12">
        <f t="shared" si="0"/>
        <v>418.87901333333338</v>
      </c>
      <c r="I12" s="6">
        <v>6.1755000000000002E-4</v>
      </c>
      <c r="J12" s="6">
        <v>6.1608999999999999E-5</v>
      </c>
      <c r="K12" s="5"/>
      <c r="L12" s="5"/>
    </row>
    <row r="13" spans="1:13" x14ac:dyDescent="0.25">
      <c r="A13">
        <v>0.3</v>
      </c>
      <c r="B13">
        <f t="shared" si="1"/>
        <v>1500</v>
      </c>
      <c r="C13">
        <f t="shared" si="0"/>
        <v>628.31852000000003</v>
      </c>
      <c r="I13" s="6">
        <v>6.1755000000000002E-4</v>
      </c>
      <c r="J13" s="6">
        <v>5.1609E-5</v>
      </c>
      <c r="K13" s="5"/>
      <c r="L13" s="5"/>
    </row>
    <row r="14" spans="1:13" x14ac:dyDescent="0.25">
      <c r="A14">
        <v>0.4</v>
      </c>
      <c r="B14">
        <f t="shared" si="1"/>
        <v>2000</v>
      </c>
      <c r="C14">
        <f t="shared" si="0"/>
        <v>837.75802666666675</v>
      </c>
      <c r="I14" s="6">
        <v>6.1755000000000002E-4</v>
      </c>
      <c r="J14" s="6">
        <v>5.1609E-5</v>
      </c>
      <c r="K14" s="5"/>
      <c r="L14" s="5"/>
    </row>
    <row r="15" spans="1:13" x14ac:dyDescent="0.25">
      <c r="A15">
        <v>0.5</v>
      </c>
      <c r="B15">
        <f t="shared" si="1"/>
        <v>2500</v>
      </c>
      <c r="C15">
        <f t="shared" si="0"/>
        <v>1047.1975333333332</v>
      </c>
      <c r="I15" s="6">
        <v>5.1754999999999998E-4</v>
      </c>
      <c r="J15" s="7">
        <v>7.3815823358586904E-6</v>
      </c>
      <c r="K15" s="5"/>
      <c r="L15" s="5"/>
    </row>
    <row r="16" spans="1:13" x14ac:dyDescent="0.25">
      <c r="A16">
        <v>0.6</v>
      </c>
      <c r="B16">
        <f t="shared" si="1"/>
        <v>3000</v>
      </c>
      <c r="C16">
        <f t="shared" si="0"/>
        <v>1256.6370400000001</v>
      </c>
      <c r="I16" s="8">
        <v>9.1755000000000005E-4</v>
      </c>
      <c r="J16" s="7">
        <v>7.3815823358586904E-6</v>
      </c>
      <c r="K16" s="5"/>
      <c r="L16" s="5"/>
    </row>
    <row r="17" spans="1:12" x14ac:dyDescent="0.25">
      <c r="A17">
        <v>0.7</v>
      </c>
      <c r="B17">
        <f t="shared" si="1"/>
        <v>3500</v>
      </c>
      <c r="C17">
        <f t="shared" si="0"/>
        <v>1466.0765466666667</v>
      </c>
      <c r="I17" s="8">
        <v>9.1755000000000005E-4</v>
      </c>
      <c r="J17" s="7">
        <v>7.3815823358586904E-6</v>
      </c>
      <c r="K17" s="5"/>
      <c r="L17" s="5"/>
    </row>
    <row r="18" spans="1:12" x14ac:dyDescent="0.25">
      <c r="A18">
        <v>0.8</v>
      </c>
      <c r="B18">
        <f t="shared" si="1"/>
        <v>4000</v>
      </c>
      <c r="C18">
        <f t="shared" si="0"/>
        <v>1675.5160533333335</v>
      </c>
      <c r="I18" s="8">
        <v>9.1755000000000005E-4</v>
      </c>
      <c r="J18" s="7">
        <v>7.3815823358586904E-6</v>
      </c>
      <c r="K18" s="5"/>
      <c r="L18" s="5"/>
    </row>
    <row r="19" spans="1:12" x14ac:dyDescent="0.25">
      <c r="A19">
        <v>1</v>
      </c>
      <c r="B19">
        <f t="shared" si="1"/>
        <v>5000</v>
      </c>
      <c r="C19">
        <f t="shared" si="0"/>
        <v>2094.3950666666665</v>
      </c>
      <c r="I19" s="8">
        <v>9.1755000000000005E-4</v>
      </c>
      <c r="J19" s="7">
        <v>7.3815823358586904E-6</v>
      </c>
      <c r="K19" s="5"/>
      <c r="L19" s="5"/>
    </row>
    <row r="21" spans="1:12" x14ac:dyDescent="0.25">
      <c r="A21" t="s">
        <v>14</v>
      </c>
      <c r="B21" s="1" t="s">
        <v>41</v>
      </c>
      <c r="I21" s="1" t="s">
        <v>40</v>
      </c>
      <c r="J21" s="1" t="s">
        <v>45</v>
      </c>
      <c r="K21" s="1"/>
      <c r="L21" s="1"/>
    </row>
    <row r="22" spans="1:12" x14ac:dyDescent="0.25">
      <c r="A22" t="s">
        <v>16</v>
      </c>
      <c r="B22" t="s">
        <v>17</v>
      </c>
      <c r="I22" t="s">
        <v>17</v>
      </c>
      <c r="J22" t="s">
        <v>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51459-EFF1-4DC7-9756-A0DD0B88D824}">
  <dimension ref="B3:G15"/>
  <sheetViews>
    <sheetView workbookViewId="0">
      <selection activeCell="I22" sqref="I22"/>
    </sheetView>
  </sheetViews>
  <sheetFormatPr defaultRowHeight="13.8" x14ac:dyDescent="0.25"/>
  <sheetData>
    <row r="3" spans="2:7" x14ac:dyDescent="0.25">
      <c r="C3" t="s">
        <v>47</v>
      </c>
      <c r="E3" t="s">
        <v>48</v>
      </c>
      <c r="G3" t="s">
        <v>49</v>
      </c>
    </row>
    <row r="4" spans="2:7" x14ac:dyDescent="0.25">
      <c r="C4">
        <v>0</v>
      </c>
      <c r="E4">
        <v>20</v>
      </c>
      <c r="G4">
        <v>0</v>
      </c>
    </row>
    <row r="5" spans="2:7" x14ac:dyDescent="0.25">
      <c r="C5">
        <v>0.2</v>
      </c>
      <c r="E5">
        <v>50</v>
      </c>
      <c r="G5">
        <v>1</v>
      </c>
    </row>
    <row r="6" spans="2:7" x14ac:dyDescent="0.25">
      <c r="C6">
        <v>0.4</v>
      </c>
      <c r="E6">
        <v>100</v>
      </c>
      <c r="G6">
        <v>1</v>
      </c>
    </row>
    <row r="7" spans="2:7" x14ac:dyDescent="0.25">
      <c r="C7">
        <v>0.60000000000000009</v>
      </c>
      <c r="E7">
        <v>200</v>
      </c>
      <c r="G7">
        <v>1</v>
      </c>
    </row>
    <row r="8" spans="2:7" x14ac:dyDescent="0.25">
      <c r="C8">
        <v>0.8</v>
      </c>
      <c r="E8">
        <v>400</v>
      </c>
      <c r="G8">
        <v>1</v>
      </c>
    </row>
    <row r="9" spans="2:7" x14ac:dyDescent="0.25">
      <c r="C9">
        <v>1</v>
      </c>
      <c r="E9">
        <v>600</v>
      </c>
      <c r="G9">
        <v>1</v>
      </c>
    </row>
    <row r="10" spans="2:7" x14ac:dyDescent="0.25">
      <c r="C10">
        <v>1.2000000000000002</v>
      </c>
      <c r="E10">
        <v>700</v>
      </c>
      <c r="G10">
        <v>1</v>
      </c>
    </row>
    <row r="11" spans="2:7" x14ac:dyDescent="0.25">
      <c r="C11">
        <v>1.4000000000000001</v>
      </c>
      <c r="E11">
        <v>750</v>
      </c>
      <c r="G11">
        <v>1</v>
      </c>
    </row>
    <row r="12" spans="2:7" x14ac:dyDescent="0.25">
      <c r="C12">
        <v>1.6</v>
      </c>
      <c r="E12">
        <v>800</v>
      </c>
      <c r="G12">
        <v>1</v>
      </c>
    </row>
    <row r="13" spans="2:7" x14ac:dyDescent="0.25">
      <c r="C13">
        <v>2</v>
      </c>
      <c r="E13">
        <v>800</v>
      </c>
      <c r="G13">
        <v>1</v>
      </c>
    </row>
    <row r="14" spans="2:7" x14ac:dyDescent="0.25">
      <c r="B14" t="s">
        <v>14</v>
      </c>
      <c r="C14" s="1" t="s">
        <v>50</v>
      </c>
      <c r="E14" s="1" t="s">
        <v>52</v>
      </c>
      <c r="G14" s="1" t="s">
        <v>51</v>
      </c>
    </row>
    <row r="15" spans="2:7" x14ac:dyDescent="0.25">
      <c r="B15" t="s">
        <v>16</v>
      </c>
      <c r="C15" t="s">
        <v>17</v>
      </c>
      <c r="E15" t="s">
        <v>17</v>
      </c>
      <c r="G15" t="s">
        <v>17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磁链观测器</vt:lpstr>
      <vt:lpstr>滑模观测器</vt:lpstr>
      <vt:lpstr>DQ轴电流环</vt:lpstr>
      <vt:lpstr>速度环</vt:lpstr>
      <vt:lpstr>IF启动参数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Kiacute</dc:creator>
  <cp:lastModifiedBy>文钟 莫</cp:lastModifiedBy>
  <dcterms:created xsi:type="dcterms:W3CDTF">2015-06-05T18:19:34Z</dcterms:created>
  <dcterms:modified xsi:type="dcterms:W3CDTF">2026-05-24T10:30:12Z</dcterms:modified>
</cp:coreProperties>
</file>